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Research\Shares\population_research\_PROJECTS\_OHA_REALD24_ACS\jet\"/>
    </mc:Choice>
  </mc:AlternateContent>
  <xr:revisionPtr revIDLastSave="0" documentId="13_ncr:1_{DB5156A4-A575-4542-BD00-EC849BE378D1}" xr6:coauthVersionLast="47" xr6:coauthVersionMax="47" xr10:uidLastSave="{00000000-0000-0000-0000-000000000000}"/>
  <bookViews>
    <workbookView xWindow="4646" yWindow="408" windowWidth="18408" windowHeight="1942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9" i="1" l="1"/>
  <c r="M68" i="1"/>
  <c r="G67" i="1"/>
  <c r="G66" i="1"/>
  <c r="N66" i="1" s="1"/>
  <c r="C23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H45" i="1" s="1"/>
  <c r="G44" i="1"/>
  <c r="G43" i="1"/>
  <c r="G42" i="1"/>
  <c r="H42" i="1" s="1"/>
  <c r="G41" i="1"/>
  <c r="G40" i="1"/>
  <c r="G39" i="1"/>
  <c r="G38" i="1"/>
  <c r="H38" i="1" s="1"/>
  <c r="G37" i="1"/>
  <c r="G36" i="1"/>
  <c r="G35" i="1"/>
  <c r="G34" i="1"/>
  <c r="G33" i="1"/>
  <c r="G32" i="1"/>
  <c r="G31" i="1"/>
  <c r="G30" i="1"/>
  <c r="N67" i="1" l="1"/>
  <c r="H66" i="1"/>
  <c r="O66" i="1"/>
  <c r="I66" i="1" s="1"/>
  <c r="O67" i="1"/>
  <c r="D24" i="1"/>
  <c r="H67" i="1"/>
  <c r="D22" i="1"/>
  <c r="D14" i="1"/>
  <c r="D15" i="1"/>
  <c r="D16" i="1"/>
  <c r="D17" i="1"/>
  <c r="D18" i="1"/>
  <c r="D19" i="1"/>
  <c r="D20" i="1"/>
  <c r="D21" i="1"/>
  <c r="N63" i="1"/>
  <c r="O37" i="1"/>
  <c r="N39" i="1"/>
  <c r="N54" i="1"/>
  <c r="N32" i="1"/>
  <c r="N44" i="1"/>
  <c r="N56" i="1"/>
  <c r="N51" i="1"/>
  <c r="N31" i="1"/>
  <c r="N33" i="1"/>
  <c r="N57" i="1"/>
  <c r="N50" i="1"/>
  <c r="N43" i="1"/>
  <c r="N34" i="1"/>
  <c r="N46" i="1"/>
  <c r="N58" i="1"/>
  <c r="N55" i="1"/>
  <c r="N47" i="1"/>
  <c r="N59" i="1"/>
  <c r="N49" i="1"/>
  <c r="N30" i="1"/>
  <c r="N35" i="1"/>
  <c r="N36" i="1"/>
  <c r="N48" i="1"/>
  <c r="N60" i="1"/>
  <c r="N62" i="1"/>
  <c r="N64" i="1"/>
  <c r="N40" i="1"/>
  <c r="N52" i="1"/>
  <c r="N41" i="1"/>
  <c r="N53" i="1"/>
  <c r="N65" i="1"/>
  <c r="O61" i="1"/>
  <c r="N37" i="1"/>
  <c r="N61" i="1"/>
  <c r="N38" i="1"/>
  <c r="O49" i="1"/>
  <c r="N42" i="1"/>
  <c r="N45" i="1"/>
  <c r="O39" i="1"/>
  <c r="O50" i="1"/>
  <c r="O62" i="1"/>
  <c r="O40" i="1"/>
  <c r="O30" i="1"/>
  <c r="O54" i="1"/>
  <c r="H30" i="1"/>
  <c r="H54" i="1"/>
  <c r="O31" i="1"/>
  <c r="O43" i="1"/>
  <c r="O55" i="1"/>
  <c r="H31" i="1"/>
  <c r="H43" i="1"/>
  <c r="H55" i="1"/>
  <c r="O63" i="1"/>
  <c r="O52" i="1"/>
  <c r="H40" i="1"/>
  <c r="H52" i="1"/>
  <c r="O42" i="1"/>
  <c r="I42" i="1" s="1"/>
  <c r="O32" i="1"/>
  <c r="O44" i="1"/>
  <c r="O56" i="1"/>
  <c r="H32" i="1"/>
  <c r="H44" i="1"/>
  <c r="H56" i="1"/>
  <c r="O33" i="1"/>
  <c r="O57" i="1"/>
  <c r="H33" i="1"/>
  <c r="H57" i="1"/>
  <c r="O46" i="1"/>
  <c r="O35" i="1"/>
  <c r="O47" i="1"/>
  <c r="O59" i="1"/>
  <c r="H35" i="1"/>
  <c r="H47" i="1"/>
  <c r="H59" i="1"/>
  <c r="O38" i="1"/>
  <c r="I38" i="1" s="1"/>
  <c r="O45" i="1"/>
  <c r="I45" i="1" s="1"/>
  <c r="O34" i="1"/>
  <c r="O58" i="1"/>
  <c r="H34" i="1"/>
  <c r="H46" i="1"/>
  <c r="H58" i="1"/>
  <c r="O36" i="1"/>
  <c r="O48" i="1"/>
  <c r="O60" i="1"/>
  <c r="H36" i="1"/>
  <c r="H48" i="1"/>
  <c r="H60" i="1"/>
  <c r="H37" i="1"/>
  <c r="I37" i="1" s="1"/>
  <c r="H49" i="1"/>
  <c r="H61" i="1"/>
  <c r="H50" i="1"/>
  <c r="H62" i="1"/>
  <c r="O51" i="1"/>
  <c r="H39" i="1"/>
  <c r="H51" i="1"/>
  <c r="H63" i="1"/>
  <c r="O64" i="1"/>
  <c r="H64" i="1"/>
  <c r="O41" i="1"/>
  <c r="O53" i="1"/>
  <c r="O65" i="1"/>
  <c r="H41" i="1"/>
  <c r="H53" i="1"/>
  <c r="H65" i="1"/>
  <c r="I67" i="1" l="1"/>
  <c r="K66" i="1"/>
  <c r="L66" i="1"/>
  <c r="J66" i="1"/>
  <c r="D23" i="1"/>
  <c r="I50" i="1"/>
  <c r="L50" i="1" s="1"/>
  <c r="I33" i="1"/>
  <c r="J33" i="1" s="1"/>
  <c r="L42" i="1"/>
  <c r="K42" i="1"/>
  <c r="J42" i="1"/>
  <c r="I49" i="1"/>
  <c r="L45" i="1"/>
  <c r="K45" i="1"/>
  <c r="J45" i="1"/>
  <c r="I61" i="1"/>
  <c r="L37" i="1"/>
  <c r="K37" i="1"/>
  <c r="J37" i="1"/>
  <c r="L38" i="1"/>
  <c r="K38" i="1"/>
  <c r="J38" i="1"/>
  <c r="I46" i="1"/>
  <c r="I59" i="1"/>
  <c r="I44" i="1"/>
  <c r="I31" i="1"/>
  <c r="I48" i="1"/>
  <c r="I54" i="1"/>
  <c r="I60" i="1"/>
  <c r="I56" i="1"/>
  <c r="I43" i="1"/>
  <c r="I30" i="1"/>
  <c r="I39" i="1"/>
  <c r="I41" i="1"/>
  <c r="I55" i="1"/>
  <c r="I63" i="1"/>
  <c r="I35" i="1"/>
  <c r="I36" i="1"/>
  <c r="I47" i="1"/>
  <c r="I32" i="1"/>
  <c r="I51" i="1"/>
  <c r="I58" i="1"/>
  <c r="I65" i="1"/>
  <c r="I62" i="1"/>
  <c r="I52" i="1"/>
  <c r="I53" i="1"/>
  <c r="I34" i="1"/>
  <c r="I57" i="1"/>
  <c r="I40" i="1"/>
  <c r="I64" i="1"/>
  <c r="I68" i="1" l="1"/>
  <c r="J67" i="1"/>
  <c r="J69" i="1" s="1"/>
  <c r="K67" i="1"/>
  <c r="K69" i="1" s="1"/>
  <c r="L67" i="1"/>
  <c r="L69" i="1" s="1"/>
  <c r="I69" i="1"/>
  <c r="K33" i="1"/>
  <c r="L33" i="1"/>
  <c r="J50" i="1"/>
  <c r="K50" i="1"/>
  <c r="L30" i="1"/>
  <c r="K30" i="1"/>
  <c r="J30" i="1"/>
  <c r="L65" i="1"/>
  <c r="K65" i="1"/>
  <c r="J65" i="1"/>
  <c r="L56" i="1"/>
  <c r="K56" i="1"/>
  <c r="J56" i="1"/>
  <c r="L32" i="1"/>
  <c r="K32" i="1"/>
  <c r="J32" i="1"/>
  <c r="L54" i="1"/>
  <c r="K54" i="1"/>
  <c r="J54" i="1"/>
  <c r="K47" i="1"/>
  <c r="J47" i="1"/>
  <c r="L47" i="1"/>
  <c r="L48" i="1"/>
  <c r="K48" i="1"/>
  <c r="J48" i="1"/>
  <c r="L64" i="1"/>
  <c r="K64" i="1"/>
  <c r="J64" i="1"/>
  <c r="J31" i="1"/>
  <c r="L31" i="1"/>
  <c r="K31" i="1"/>
  <c r="L35" i="1"/>
  <c r="J35" i="1"/>
  <c r="K35" i="1"/>
  <c r="L57" i="1"/>
  <c r="K57" i="1"/>
  <c r="J57" i="1"/>
  <c r="L59" i="1"/>
  <c r="J59" i="1"/>
  <c r="K59" i="1"/>
  <c r="J55" i="1"/>
  <c r="L55" i="1"/>
  <c r="K55" i="1"/>
  <c r="L62" i="1"/>
  <c r="K62" i="1"/>
  <c r="J62" i="1"/>
  <c r="L46" i="1"/>
  <c r="K46" i="1"/>
  <c r="J46" i="1"/>
  <c r="J51" i="1"/>
  <c r="L51" i="1"/>
  <c r="K51" i="1"/>
  <c r="L44" i="1"/>
  <c r="K44" i="1"/>
  <c r="J44" i="1"/>
  <c r="L41" i="1"/>
  <c r="J41" i="1"/>
  <c r="K41" i="1"/>
  <c r="J43" i="1"/>
  <c r="L43" i="1"/>
  <c r="K43" i="1"/>
  <c r="L58" i="1"/>
  <c r="K58" i="1"/>
  <c r="J58" i="1"/>
  <c r="L60" i="1"/>
  <c r="K60" i="1"/>
  <c r="J60" i="1"/>
  <c r="L36" i="1"/>
  <c r="K36" i="1"/>
  <c r="J36" i="1"/>
  <c r="L40" i="1"/>
  <c r="K40" i="1"/>
  <c r="J40" i="1"/>
  <c r="L61" i="1"/>
  <c r="K61" i="1"/>
  <c r="J61" i="1"/>
  <c r="J63" i="1"/>
  <c r="L63" i="1"/>
  <c r="K63" i="1"/>
  <c r="L34" i="1"/>
  <c r="K34" i="1"/>
  <c r="J34" i="1"/>
  <c r="L53" i="1"/>
  <c r="K53" i="1"/>
  <c r="J53" i="1"/>
  <c r="L52" i="1"/>
  <c r="K52" i="1"/>
  <c r="J52" i="1"/>
  <c r="J39" i="1"/>
  <c r="L39" i="1"/>
  <c r="K39" i="1"/>
  <c r="L49" i="1"/>
  <c r="K49" i="1"/>
  <c r="J49" i="1"/>
  <c r="J68" i="1" l="1"/>
  <c r="K68" i="1"/>
  <c r="L68" i="1"/>
</calcChain>
</file>

<file path=xl/sharedStrings.xml><?xml version="1.0" encoding="utf-8"?>
<sst xmlns="http://schemas.openxmlformats.org/spreadsheetml/2006/main" count="224" uniqueCount="84">
  <si>
    <t>stcofips</t>
  </si>
  <si>
    <t>Corvallis</t>
  </si>
  <si>
    <t>Other</t>
  </si>
  <si>
    <t>jet_geo</t>
  </si>
  <si>
    <t>Eugene</t>
  </si>
  <si>
    <t>Bend</t>
  </si>
  <si>
    <t>Portland</t>
  </si>
  <si>
    <t>Vancouver</t>
  </si>
  <si>
    <t>Salem</t>
  </si>
  <si>
    <t>Bend &amp; Nearby Counties, OR</t>
  </si>
  <si>
    <t>Crook County, OR</t>
  </si>
  <si>
    <t>Deschutes County, OR</t>
  </si>
  <si>
    <t>Hood River County, OR</t>
  </si>
  <si>
    <t>Jefferson County, OR</t>
  </si>
  <si>
    <t>Sherman County, OR</t>
  </si>
  <si>
    <t>Wasco County, OR</t>
  </si>
  <si>
    <t>Eastern Counties, OR</t>
  </si>
  <si>
    <t>Baker County, OR</t>
  </si>
  <si>
    <t>Gilliam County, OR</t>
  </si>
  <si>
    <t>Grant County, OR</t>
  </si>
  <si>
    <t>Harney County, OR</t>
  </si>
  <si>
    <t>Klamath County, OR</t>
  </si>
  <si>
    <t>Lake County, OR</t>
  </si>
  <si>
    <t>Malheur County, OR</t>
  </si>
  <si>
    <t>Morrow County, OR</t>
  </si>
  <si>
    <t>Umatilla County, OR</t>
  </si>
  <si>
    <t>Union County, OR</t>
  </si>
  <si>
    <t>Wallowa County, OR</t>
  </si>
  <si>
    <t>Wheeler County, OR</t>
  </si>
  <si>
    <t>Eugene, OR</t>
  </si>
  <si>
    <t>Lane County, OR</t>
  </si>
  <si>
    <t>Northwestern Counties, OR</t>
  </si>
  <si>
    <t>Benton County, OR</t>
  </si>
  <si>
    <t>Clatsop County, OR</t>
  </si>
  <si>
    <t>Lincoln County, OR</t>
  </si>
  <si>
    <t>Linn County, OR</t>
  </si>
  <si>
    <t>Tillamook County, OR</t>
  </si>
  <si>
    <t>Portland Southern Counties, OR</t>
  </si>
  <si>
    <t>Clackamas County, OR</t>
  </si>
  <si>
    <t>Yamhill County, OR</t>
  </si>
  <si>
    <t>Portland Western Suburbs, OR</t>
  </si>
  <si>
    <t>Columbia County, OR</t>
  </si>
  <si>
    <t>Washington County, OR</t>
  </si>
  <si>
    <t>Portland, OR</t>
  </si>
  <si>
    <t>Multnomah County, OR</t>
  </si>
  <si>
    <t>Salem Area, OR</t>
  </si>
  <si>
    <t>Marion County, OR</t>
  </si>
  <si>
    <t>Polk County, OR</t>
  </si>
  <si>
    <t>Southwestern Counties, OR</t>
  </si>
  <si>
    <t>Coos County, OR</t>
  </si>
  <si>
    <t>Curry County, OR</t>
  </si>
  <si>
    <t>Douglas County, OR</t>
  </si>
  <si>
    <t>Jackson County, OR</t>
  </si>
  <si>
    <t>Josephine County, OR</t>
  </si>
  <si>
    <t>Medford-Ashland-Grants Pass</t>
  </si>
  <si>
    <t>OR</t>
  </si>
  <si>
    <t>Est.</t>
  </si>
  <si>
    <t>Grp.</t>
  </si>
  <si>
    <t>Grp.Totl.</t>
  </si>
  <si>
    <t>Est.Alloc.</t>
  </si>
  <si>
    <t>Est.Inter.</t>
  </si>
  <si>
    <t>Grp.Shr.</t>
  </si>
  <si>
    <t>County</t>
  </si>
  <si>
    <t>Group</t>
  </si>
  <si>
    <t>source</t>
  </si>
  <si>
    <t>AJPP</t>
  </si>
  <si>
    <t>AJYB</t>
  </si>
  <si>
    <t>State</t>
  </si>
  <si>
    <t>WA</t>
  </si>
  <si>
    <t>Portland Northeastern Suburbs, WA</t>
  </si>
  <si>
    <t>Clark County, WA</t>
  </si>
  <si>
    <t>Skamania County, WA</t>
  </si>
  <si>
    <t>AJPP County Groups:</t>
  </si>
  <si>
    <t>cname</t>
  </si>
  <si>
    <t>stabbv</t>
  </si>
  <si>
    <t>grp_2020</t>
  </si>
  <si>
    <t>grptot_2020</t>
  </si>
  <si>
    <t>est_2020</t>
  </si>
  <si>
    <t>est_2021</t>
  </si>
  <si>
    <t>est_2022</t>
  </si>
  <si>
    <t>est_2023</t>
  </si>
  <si>
    <t>est_2024</t>
  </si>
  <si>
    <t>grptot_2025</t>
  </si>
  <si>
    <t>grpshr_2024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</si>
</sst>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0" fontId="2" fillId="0" borderId="0"/>
    <xf numFmtId="0" fontId="5" fillId="9" borderId="0" applyNumberFormat="0" applyBorder="0" applyAlignment="0" applyProtection="0"/>
    <xf numFmtId="0" fontId="6" fillId="2" borderId="0" applyNumberFormat="0" applyBorder="0" applyAlignment="0" applyProtection="0"/>
    <xf numFmtId="0" fontId="7" fillId="4" borderId="0" applyNumberFormat="0" applyBorder="0" applyAlignment="0" applyProtection="0"/>
    <xf numFmtId="0" fontId="2" fillId="0" borderId="0"/>
    <xf numFmtId="0" fontId="12" fillId="0" borderId="0"/>
    <xf numFmtId="0" fontId="3" fillId="0" borderId="0"/>
    <xf numFmtId="0" fontId="8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1" fillId="8" borderId="0" applyNumberFormat="0" applyBorder="0" applyAlignment="0" applyProtection="0"/>
    <xf numFmtId="0" fontId="3" fillId="6" borderId="2" applyNumberFormat="0" applyFont="0" applyAlignment="0" applyProtection="0"/>
    <xf numFmtId="0" fontId="3" fillId="0" borderId="0"/>
    <xf numFmtId="0" fontId="11" fillId="0" borderId="0"/>
    <xf numFmtId="0" fontId="10" fillId="5" borderId="1" applyNumberFormat="0" applyAlignment="0" applyProtection="0"/>
    <xf numFmtId="0" fontId="1" fillId="0" borderId="0"/>
  </cellStyleXfs>
  <cellXfs count="20">
    <xf numFmtId="0" fontId="0" fillId="0" borderId="0" xfId="0"/>
    <xf numFmtId="3" fontId="4" fillId="0" borderId="5" xfId="1" applyNumberFormat="1" applyFont="1" applyFill="1" applyBorder="1"/>
    <xf numFmtId="3" fontId="4" fillId="0" borderId="3" xfId="1" applyNumberFormat="1" applyFont="1" applyBorder="1"/>
    <xf numFmtId="3" fontId="4" fillId="0" borderId="3" xfId="1" applyNumberFormat="1" applyFont="1" applyBorder="1"/>
    <xf numFmtId="3" fontId="4" fillId="0" borderId="5" xfId="1" applyNumberFormat="1" applyFont="1" applyBorder="1"/>
    <xf numFmtId="3" fontId="0" fillId="0" borderId="0" xfId="0" applyNumberFormat="1"/>
    <xf numFmtId="0" fontId="0" fillId="0" borderId="0" xfId="0"/>
    <xf numFmtId="0" fontId="0" fillId="11" borderId="0" xfId="0" applyFill="1"/>
    <xf numFmtId="3" fontId="4" fillId="0" borderId="0" xfId="1" applyNumberFormat="1" applyFont="1" applyFill="1" applyBorder="1"/>
    <xf numFmtId="3" fontId="4" fillId="0" borderId="3" xfId="1" applyNumberFormat="1" applyFont="1" applyBorder="1" applyAlignment="1">
      <alignment vertical="center"/>
    </xf>
    <xf numFmtId="0" fontId="0" fillId="0" borderId="0" xfId="0"/>
    <xf numFmtId="0" fontId="13" fillId="10" borderId="4" xfId="0" applyFont="1" applyFill="1" applyBorder="1"/>
    <xf numFmtId="0" fontId="13" fillId="10" borderId="4" xfId="0" applyFont="1" applyFill="1" applyBorder="1" applyAlignment="1">
      <alignment horizontal="center"/>
    </xf>
    <xf numFmtId="3" fontId="13" fillId="10" borderId="4" xfId="0" applyNumberFormat="1" applyFont="1" applyFill="1" applyBorder="1"/>
    <xf numFmtId="164" fontId="0" fillId="0" borderId="0" xfId="0" applyNumberFormat="1"/>
    <xf numFmtId="0" fontId="13" fillId="10" borderId="0" xfId="0" applyFont="1" applyFill="1" applyBorder="1" applyAlignment="1">
      <alignment horizontal="center"/>
    </xf>
    <xf numFmtId="0" fontId="0" fillId="0" borderId="0" xfId="0" applyFill="1" applyBorder="1"/>
    <xf numFmtId="0" fontId="13" fillId="10" borderId="0" xfId="0" applyFont="1" applyFill="1" applyBorder="1"/>
    <xf numFmtId="3" fontId="13" fillId="10" borderId="0" xfId="0" applyNumberFormat="1" applyFont="1" applyFill="1" applyBorder="1"/>
    <xf numFmtId="0" fontId="0" fillId="0" borderId="0" xfId="0" applyFill="1"/>
  </cellXfs>
  <cellStyles count="17">
    <cellStyle name="40% - Accent1 2" xfId="9" xr:uid="{9872338C-C017-4F9E-BC7E-1DBFC96BEF8D}"/>
    <cellStyle name="40% - Accent3 2" xfId="11" xr:uid="{3373868A-9D39-40B9-8983-8192E6ED242B}"/>
    <cellStyle name="Accent4 2" xfId="2" xr:uid="{2E2CB904-F990-42D3-B044-60AAAECE4270}"/>
    <cellStyle name="Bad 2" xfId="8" xr:uid="{1B39AE43-CA23-48BE-845F-642681A84DED}"/>
    <cellStyle name="Explanatory Text 2" xfId="10" xr:uid="{0C9C7CD9-2C89-4477-895E-F20050729010}"/>
    <cellStyle name="Good 2" xfId="3" xr:uid="{FE58BE26-A328-4032-8CCA-EA7A26A0C437}"/>
    <cellStyle name="Input 2" xfId="15" xr:uid="{37643864-6105-48FE-9B32-D7B692D7868C}"/>
    <cellStyle name="Neutral 2" xfId="4" xr:uid="{756985C9-AEA1-4AB3-B037-AC3747FE8E6A}"/>
    <cellStyle name="Normal" xfId="0" builtinId="0"/>
    <cellStyle name="Normal 2" xfId="1" xr:uid="{89E8ACE3-FF1F-43C3-9315-9CCFD0BA419F}"/>
    <cellStyle name="Normal 2 2" xfId="6" xr:uid="{EF907668-7C13-4E52-9A46-2C0BAB0EB6F1}"/>
    <cellStyle name="Normal 2 3" xfId="14" xr:uid="{E23B5D09-9C63-443C-8734-26E0A2C3719E}"/>
    <cellStyle name="Normal 2 4" xfId="13" xr:uid="{5800681E-2BAB-4FDB-A19C-C8AAC7023D1E}"/>
    <cellStyle name="Normal 3" xfId="16" xr:uid="{A2B484BD-FA8A-492A-912C-E4EE9D1A31F3}"/>
    <cellStyle name="Note 2" xfId="12" xr:uid="{83F2C32F-A09E-40C7-BD7B-FAABF9A2AD72}"/>
    <cellStyle name="Style 1" xfId="5" xr:uid="{9D0E303B-A57B-462F-BC00-3BB4E6E93027}"/>
    <cellStyle name="Style 1 2" xfId="7" xr:uid="{191ABF77-292E-47D3-9B10-886112D61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topLeftCell="A22" zoomScale="85" zoomScaleNormal="85" workbookViewId="0">
      <selection activeCell="G29" sqref="G29"/>
    </sheetView>
  </sheetViews>
  <sheetFormatPr defaultRowHeight="14.3"/>
  <cols>
    <col min="2" max="2" width="25.5" customWidth="1"/>
    <col min="15" max="15" width="9.625" customWidth="1"/>
  </cols>
  <sheetData>
    <row r="1" spans="1:16">
      <c r="A1" t="s">
        <v>64</v>
      </c>
      <c r="B1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 s="7">
        <v>2023</v>
      </c>
    </row>
    <row r="2" spans="1:16">
      <c r="A2" t="s">
        <v>66</v>
      </c>
      <c r="B2" t="s">
        <v>5</v>
      </c>
      <c r="C2" s="2">
        <v>500</v>
      </c>
      <c r="D2" s="3">
        <v>1000</v>
      </c>
      <c r="E2" s="3">
        <v>1000</v>
      </c>
      <c r="F2" s="9">
        <v>1000</v>
      </c>
      <c r="G2" s="5">
        <v>1000</v>
      </c>
      <c r="H2" s="5">
        <v>1000</v>
      </c>
      <c r="I2" s="5">
        <v>1000</v>
      </c>
      <c r="J2" s="5">
        <v>1000</v>
      </c>
      <c r="K2" s="5">
        <v>1000</v>
      </c>
      <c r="L2" s="5">
        <v>1000</v>
      </c>
      <c r="M2" s="5">
        <v>1000</v>
      </c>
      <c r="N2" s="5">
        <v>1000</v>
      </c>
      <c r="O2" s="5">
        <v>1000</v>
      </c>
      <c r="P2" s="5">
        <v>1000</v>
      </c>
    </row>
    <row r="3" spans="1:16">
      <c r="A3" s="10" t="s">
        <v>66</v>
      </c>
      <c r="B3" t="s">
        <v>1</v>
      </c>
      <c r="C3" s="2">
        <v>500</v>
      </c>
      <c r="D3" s="3">
        <v>500</v>
      </c>
      <c r="E3" s="3">
        <v>500</v>
      </c>
      <c r="F3" s="9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 s="6">
        <v>500</v>
      </c>
      <c r="N3" s="6">
        <v>500</v>
      </c>
      <c r="O3" s="6">
        <v>500</v>
      </c>
      <c r="P3" s="6">
        <v>500</v>
      </c>
    </row>
    <row r="4" spans="1:16">
      <c r="A4" s="10" t="s">
        <v>66</v>
      </c>
      <c r="B4" t="s">
        <v>4</v>
      </c>
      <c r="C4" s="2">
        <v>3250</v>
      </c>
      <c r="D4" s="3">
        <v>3250</v>
      </c>
      <c r="E4" s="3">
        <v>3250</v>
      </c>
      <c r="F4" s="9">
        <v>3250</v>
      </c>
      <c r="G4" s="5">
        <v>3250</v>
      </c>
      <c r="H4" s="5">
        <v>3250</v>
      </c>
      <c r="I4" s="5">
        <v>3250</v>
      </c>
      <c r="J4" s="5">
        <v>3250</v>
      </c>
      <c r="K4" s="5">
        <v>3250</v>
      </c>
      <c r="L4" s="5">
        <v>3250</v>
      </c>
      <c r="M4" s="5">
        <v>3250</v>
      </c>
      <c r="N4" s="5">
        <v>3250</v>
      </c>
      <c r="O4" s="5">
        <v>3250</v>
      </c>
      <c r="P4" s="5">
        <v>4300</v>
      </c>
    </row>
    <row r="5" spans="1:16">
      <c r="A5" s="10" t="s">
        <v>66</v>
      </c>
      <c r="B5" t="s">
        <v>54</v>
      </c>
      <c r="C5" s="2">
        <v>1000</v>
      </c>
      <c r="D5" s="3">
        <v>1000</v>
      </c>
      <c r="E5" s="3">
        <v>1000</v>
      </c>
      <c r="F5" s="9">
        <v>1000</v>
      </c>
      <c r="G5" s="5">
        <v>1000</v>
      </c>
      <c r="H5" s="5">
        <v>1000</v>
      </c>
      <c r="I5" s="5">
        <v>1000</v>
      </c>
      <c r="J5" s="5">
        <v>1000</v>
      </c>
      <c r="K5" s="5">
        <v>1000</v>
      </c>
      <c r="L5" s="5">
        <v>1000</v>
      </c>
      <c r="M5" s="5">
        <v>1000</v>
      </c>
      <c r="N5" s="5">
        <v>1000</v>
      </c>
      <c r="O5" s="5">
        <v>1000</v>
      </c>
      <c r="P5" s="5">
        <v>1000</v>
      </c>
    </row>
    <row r="6" spans="1:16">
      <c r="A6" s="10" t="s">
        <v>66</v>
      </c>
      <c r="B6" t="s">
        <v>6</v>
      </c>
      <c r="C6" s="2">
        <v>42000</v>
      </c>
      <c r="D6" s="3">
        <v>33800</v>
      </c>
      <c r="E6" s="3">
        <v>33800</v>
      </c>
      <c r="F6" s="9">
        <v>33800</v>
      </c>
      <c r="G6" s="5">
        <v>33800</v>
      </c>
      <c r="H6" s="5">
        <v>33800</v>
      </c>
      <c r="I6" s="5">
        <v>33800</v>
      </c>
      <c r="J6" s="5">
        <v>33800</v>
      </c>
      <c r="K6" s="5">
        <v>33800</v>
      </c>
      <c r="L6" s="5">
        <v>33800</v>
      </c>
      <c r="M6" s="5">
        <v>33800</v>
      </c>
      <c r="N6" s="5">
        <v>33800</v>
      </c>
      <c r="O6" s="5">
        <v>33800</v>
      </c>
      <c r="P6">
        <v>51900</v>
      </c>
    </row>
    <row r="7" spans="1:16">
      <c r="A7" s="10" t="s">
        <v>66</v>
      </c>
      <c r="B7" t="s">
        <v>7</v>
      </c>
      <c r="C7" s="4">
        <v>600</v>
      </c>
      <c r="D7" s="1">
        <v>2600</v>
      </c>
      <c r="E7" s="1">
        <v>2600</v>
      </c>
      <c r="F7" s="9">
        <v>2600</v>
      </c>
      <c r="G7" s="5">
        <v>2600</v>
      </c>
      <c r="H7" s="5">
        <v>2600</v>
      </c>
      <c r="I7" s="5">
        <v>2600</v>
      </c>
      <c r="J7" s="5">
        <v>2600</v>
      </c>
      <c r="K7" s="5">
        <v>2600</v>
      </c>
      <c r="L7" s="5">
        <v>2600</v>
      </c>
      <c r="M7" s="5">
        <v>2600</v>
      </c>
      <c r="N7" s="5">
        <v>2600</v>
      </c>
      <c r="O7" s="5">
        <v>2600</v>
      </c>
      <c r="P7" s="5">
        <v>4700</v>
      </c>
    </row>
    <row r="8" spans="1:16">
      <c r="A8" s="10" t="s">
        <v>66</v>
      </c>
      <c r="B8" t="s">
        <v>8</v>
      </c>
      <c r="C8" s="2">
        <v>1000</v>
      </c>
      <c r="D8" s="9">
        <v>1000</v>
      </c>
      <c r="E8" s="9">
        <v>1000</v>
      </c>
      <c r="F8" s="9">
        <v>1000</v>
      </c>
      <c r="G8" s="5">
        <v>1000</v>
      </c>
      <c r="H8" s="5">
        <v>1000</v>
      </c>
      <c r="I8" s="5">
        <v>1000</v>
      </c>
      <c r="J8" s="5">
        <v>1000</v>
      </c>
      <c r="K8" s="5">
        <v>1000</v>
      </c>
      <c r="L8" s="5">
        <v>1000</v>
      </c>
      <c r="M8" s="5">
        <v>1000</v>
      </c>
      <c r="N8" s="5">
        <v>1000</v>
      </c>
      <c r="O8" s="5">
        <v>1000</v>
      </c>
      <c r="P8" s="5">
        <v>1000</v>
      </c>
    </row>
    <row r="9" spans="1:16">
      <c r="A9" s="10" t="s">
        <v>66</v>
      </c>
      <c r="B9" t="s">
        <v>2</v>
      </c>
      <c r="C9" s="1">
        <v>60</v>
      </c>
      <c r="D9" s="1">
        <v>60</v>
      </c>
      <c r="E9" s="1">
        <v>60</v>
      </c>
      <c r="F9" s="1">
        <v>60</v>
      </c>
      <c r="G9" s="1">
        <v>60</v>
      </c>
      <c r="H9" s="1">
        <v>60</v>
      </c>
      <c r="I9" s="1">
        <v>60</v>
      </c>
      <c r="J9" s="1">
        <v>60</v>
      </c>
      <c r="K9" s="1">
        <v>60</v>
      </c>
      <c r="L9" s="1">
        <v>60</v>
      </c>
      <c r="M9" s="1">
        <v>60</v>
      </c>
      <c r="N9" s="1">
        <v>60</v>
      </c>
      <c r="O9" s="1">
        <v>60</v>
      </c>
      <c r="P9" s="1">
        <v>60</v>
      </c>
    </row>
    <row r="10" spans="1:16">
      <c r="A10" s="10" t="s">
        <v>66</v>
      </c>
      <c r="B10" t="s">
        <v>2</v>
      </c>
      <c r="C10" s="1">
        <v>30</v>
      </c>
      <c r="D10" s="1">
        <v>30</v>
      </c>
      <c r="E10" s="1">
        <v>30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  <c r="K10" s="1">
        <v>30</v>
      </c>
      <c r="L10" s="1">
        <v>30</v>
      </c>
      <c r="M10" s="1">
        <v>30</v>
      </c>
      <c r="N10" s="1">
        <v>30</v>
      </c>
      <c r="O10" s="1">
        <v>30</v>
      </c>
      <c r="P10" s="1">
        <v>30</v>
      </c>
    </row>
    <row r="11" spans="1:16">
      <c r="A11" s="10" t="s">
        <v>66</v>
      </c>
      <c r="B11" t="s">
        <v>2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</row>
    <row r="12" spans="1:16" s="6" customFormat="1"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6">
      <c r="A13" t="s">
        <v>64</v>
      </c>
      <c r="B13" s="16" t="s">
        <v>3</v>
      </c>
      <c r="C13">
        <v>2020</v>
      </c>
      <c r="D13" s="10">
        <v>2024</v>
      </c>
      <c r="F13" s="10"/>
      <c r="G13" s="10"/>
      <c r="H13" s="10"/>
    </row>
    <row r="14" spans="1:16">
      <c r="A14" t="s">
        <v>65</v>
      </c>
      <c r="B14" t="s">
        <v>9</v>
      </c>
      <c r="C14">
        <v>2300</v>
      </c>
      <c r="D14">
        <f t="shared" ref="D14:D22" si="0">SUMIF($G$30:$G$65,B14,$M$30:$M$65)</f>
        <v>2295</v>
      </c>
      <c r="F14" s="10"/>
      <c r="G14" s="10"/>
      <c r="H14" s="10"/>
    </row>
    <row r="15" spans="1:16">
      <c r="A15" s="10" t="s">
        <v>65</v>
      </c>
      <c r="B15" t="s">
        <v>16</v>
      </c>
      <c r="C15">
        <v>1000</v>
      </c>
      <c r="D15" s="10">
        <f t="shared" si="0"/>
        <v>460</v>
      </c>
    </row>
    <row r="16" spans="1:16">
      <c r="A16" s="10" t="s">
        <v>65</v>
      </c>
      <c r="B16" t="s">
        <v>29</v>
      </c>
      <c r="C16">
        <v>8200</v>
      </c>
      <c r="D16" s="10">
        <f t="shared" si="0"/>
        <v>3500</v>
      </c>
    </row>
    <row r="17" spans="1:18">
      <c r="A17" s="10" t="s">
        <v>65</v>
      </c>
      <c r="B17" t="s">
        <v>31</v>
      </c>
      <c r="C17">
        <v>3400</v>
      </c>
      <c r="D17" s="10">
        <f t="shared" si="0"/>
        <v>2900</v>
      </c>
    </row>
    <row r="18" spans="1:18">
      <c r="A18" s="10" t="s">
        <v>65</v>
      </c>
      <c r="B18" t="s">
        <v>37</v>
      </c>
      <c r="C18">
        <v>5800</v>
      </c>
      <c r="D18" s="10">
        <f t="shared" si="0"/>
        <v>3900</v>
      </c>
    </row>
    <row r="19" spans="1:18">
      <c r="A19" s="10" t="s">
        <v>65</v>
      </c>
      <c r="B19" t="s">
        <v>40</v>
      </c>
      <c r="C19">
        <v>11500</v>
      </c>
      <c r="D19" s="10">
        <f t="shared" si="0"/>
        <v>15200</v>
      </c>
    </row>
    <row r="20" spans="1:18">
      <c r="A20" s="10" t="s">
        <v>65</v>
      </c>
      <c r="B20" t="s">
        <v>43</v>
      </c>
      <c r="C20">
        <v>28800</v>
      </c>
      <c r="D20" s="10">
        <f t="shared" si="0"/>
        <v>33800</v>
      </c>
    </row>
    <row r="21" spans="1:18">
      <c r="A21" s="10" t="s">
        <v>65</v>
      </c>
      <c r="B21" t="s">
        <v>45</v>
      </c>
      <c r="C21">
        <v>1900</v>
      </c>
      <c r="D21" s="10">
        <f t="shared" si="0"/>
        <v>2500</v>
      </c>
    </row>
    <row r="22" spans="1:18">
      <c r="A22" s="10" t="s">
        <v>65</v>
      </c>
      <c r="B22" t="s">
        <v>48</v>
      </c>
      <c r="C22">
        <v>6300</v>
      </c>
      <c r="D22" s="10">
        <f t="shared" si="0"/>
        <v>5550</v>
      </c>
    </row>
    <row r="23" spans="1:18" s="10" customFormat="1">
      <c r="C23" s="10">
        <f>SUM(C14:C22)</f>
        <v>69200</v>
      </c>
      <c r="D23" s="10">
        <f>SUM(D14:D22)</f>
        <v>70105</v>
      </c>
    </row>
    <row r="24" spans="1:18" s="10" customFormat="1">
      <c r="A24" s="10" t="s">
        <v>65</v>
      </c>
      <c r="B24" s="10" t="s">
        <v>69</v>
      </c>
      <c r="C24" s="10">
        <v>5400</v>
      </c>
      <c r="D24" s="10">
        <f>SUMIF($G$66:$G$67,B24,$M$66:$M$67)</f>
        <v>3800</v>
      </c>
    </row>
    <row r="25" spans="1:18" s="10" customFormat="1"/>
    <row r="26" spans="1:18" s="10" customFormat="1"/>
    <row r="27" spans="1:18" s="10" customFormat="1">
      <c r="A27" s="10" t="s">
        <v>72</v>
      </c>
      <c r="G27" s="7">
        <v>2020</v>
      </c>
      <c r="H27" s="7">
        <v>2020</v>
      </c>
      <c r="I27" s="7">
        <v>2020</v>
      </c>
      <c r="J27" s="10">
        <v>2021</v>
      </c>
      <c r="K27" s="10">
        <v>2022</v>
      </c>
      <c r="L27" s="10">
        <v>2023</v>
      </c>
      <c r="M27" s="7">
        <v>2024</v>
      </c>
      <c r="N27" s="7">
        <v>2024</v>
      </c>
      <c r="O27" s="7">
        <v>2024</v>
      </c>
    </row>
    <row r="28" spans="1:18">
      <c r="A28" t="s">
        <v>62</v>
      </c>
      <c r="B28" t="s">
        <v>63</v>
      </c>
      <c r="D28" t="s">
        <v>62</v>
      </c>
      <c r="F28" t="s">
        <v>67</v>
      </c>
      <c r="G28" s="19" t="s">
        <v>57</v>
      </c>
      <c r="H28" s="19" t="s">
        <v>58</v>
      </c>
      <c r="I28" s="19" t="s">
        <v>59</v>
      </c>
      <c r="J28" s="19" t="s">
        <v>60</v>
      </c>
      <c r="K28" s="19" t="s">
        <v>60</v>
      </c>
      <c r="L28" s="19" t="s">
        <v>60</v>
      </c>
      <c r="M28" s="19" t="s">
        <v>56</v>
      </c>
      <c r="N28" s="19" t="s">
        <v>58</v>
      </c>
      <c r="O28" s="19" t="s">
        <v>61</v>
      </c>
    </row>
    <row r="29" spans="1:18" s="10" customFormat="1">
      <c r="D29" s="10" t="s">
        <v>73</v>
      </c>
      <c r="E29" s="10" t="s">
        <v>0</v>
      </c>
      <c r="F29" s="10" t="s">
        <v>74</v>
      </c>
      <c r="G29" s="19" t="s">
        <v>75</v>
      </c>
      <c r="H29" s="19" t="s">
        <v>76</v>
      </c>
      <c r="I29" s="19" t="s">
        <v>77</v>
      </c>
      <c r="J29" s="19" t="s">
        <v>78</v>
      </c>
      <c r="K29" s="19" t="s">
        <v>79</v>
      </c>
      <c r="L29" s="19" t="s">
        <v>80</v>
      </c>
      <c r="M29" s="19" t="s">
        <v>81</v>
      </c>
      <c r="N29" s="19" t="s">
        <v>82</v>
      </c>
      <c r="O29" s="19" t="s">
        <v>83</v>
      </c>
    </row>
    <row r="30" spans="1:18" ht="16.3">
      <c r="A30" s="6" t="s">
        <v>10</v>
      </c>
      <c r="B30" s="6" t="s">
        <v>9</v>
      </c>
      <c r="D30" s="11" t="s">
        <v>17</v>
      </c>
      <c r="E30" s="11">
        <v>41001</v>
      </c>
      <c r="F30" s="12" t="s">
        <v>55</v>
      </c>
      <c r="G30" t="str">
        <f t="shared" ref="G30:G65" si="1">VLOOKUP(D30,$A$30:$B$65,2,FALSE)</f>
        <v>Eastern Counties, OR</v>
      </c>
      <c r="H30">
        <f t="shared" ref="H30:H65" si="2">VLOOKUP(G30,$B$14:$C$22,2,FALSE)</f>
        <v>1000</v>
      </c>
      <c r="I30">
        <f t="shared" ref="I30:I67" si="3">ROUND(H30*O30,0)</f>
        <v>0</v>
      </c>
      <c r="J30" s="10">
        <f>$I30+ROUND(($M30-$I30)*(1/4),0)</f>
        <v>0</v>
      </c>
      <c r="K30" s="10">
        <f>$I30+ROUND(($M30-$I30)*(2/4),0)</f>
        <v>0</v>
      </c>
      <c r="L30" s="10">
        <f>$I30+ROUND(($M30-$I30)*(3/4),0)</f>
        <v>0</v>
      </c>
      <c r="M30" s="13">
        <v>0</v>
      </c>
      <c r="N30" s="10">
        <f t="shared" ref="N30:N65" si="4">SUMIF($G$30:$G$65,G30,$M$30:$M$65)</f>
        <v>460</v>
      </c>
      <c r="O30" s="14">
        <f t="shared" ref="O30:O65" si="5">M30/SUMIF(G$30:G$65,G30,M$30:M$65)</f>
        <v>0</v>
      </c>
      <c r="Q30" s="10"/>
      <c r="R30" s="10"/>
    </row>
    <row r="31" spans="1:18" ht="16.3">
      <c r="A31" s="6" t="s">
        <v>11</v>
      </c>
      <c r="B31" s="10" t="s">
        <v>9</v>
      </c>
      <c r="D31" s="11" t="s">
        <v>32</v>
      </c>
      <c r="E31" s="11">
        <v>41003</v>
      </c>
      <c r="F31" s="12" t="s">
        <v>55</v>
      </c>
      <c r="G31" s="10" t="str">
        <f t="shared" si="1"/>
        <v>Northwestern Counties, OR</v>
      </c>
      <c r="H31" s="10">
        <f t="shared" si="2"/>
        <v>3400</v>
      </c>
      <c r="I31" s="10">
        <f t="shared" si="3"/>
        <v>1172</v>
      </c>
      <c r="J31" s="10">
        <f t="shared" ref="J31:J67" si="6">$I31+ROUND(($M31-$I31)*(1/4),0)</f>
        <v>1129</v>
      </c>
      <c r="K31" s="10">
        <f t="shared" ref="K31:K67" si="7">$I31+ROUND(($M31-$I31)*(2/4),0)</f>
        <v>1086</v>
      </c>
      <c r="L31" s="10">
        <f t="shared" ref="L31:L67" si="8">$I31+ROUND(($M31-$I31)*(3/4),0)</f>
        <v>1043</v>
      </c>
      <c r="M31" s="13">
        <v>1000</v>
      </c>
      <c r="N31" s="10">
        <f t="shared" si="4"/>
        <v>2900</v>
      </c>
      <c r="O31" s="14">
        <f t="shared" si="5"/>
        <v>0.34482758620689657</v>
      </c>
      <c r="Q31" s="10"/>
      <c r="R31" s="10"/>
    </row>
    <row r="32" spans="1:18" ht="16.3">
      <c r="A32" s="6" t="s">
        <v>12</v>
      </c>
      <c r="B32" s="10" t="s">
        <v>9</v>
      </c>
      <c r="D32" s="11" t="s">
        <v>38</v>
      </c>
      <c r="E32" s="11">
        <v>41005</v>
      </c>
      <c r="F32" s="12" t="s">
        <v>55</v>
      </c>
      <c r="G32" s="10" t="str">
        <f t="shared" si="1"/>
        <v>Portland Southern Counties, OR</v>
      </c>
      <c r="H32" s="10">
        <f t="shared" si="2"/>
        <v>5800</v>
      </c>
      <c r="I32" s="10">
        <f t="shared" si="3"/>
        <v>4462</v>
      </c>
      <c r="J32" s="10">
        <f t="shared" si="6"/>
        <v>4096</v>
      </c>
      <c r="K32" s="10">
        <f t="shared" si="7"/>
        <v>3731</v>
      </c>
      <c r="L32" s="10">
        <f t="shared" si="8"/>
        <v>3365</v>
      </c>
      <c r="M32" s="13">
        <v>3000</v>
      </c>
      <c r="N32" s="10">
        <f t="shared" si="4"/>
        <v>3900</v>
      </c>
      <c r="O32" s="14">
        <f t="shared" si="5"/>
        <v>0.76923076923076927</v>
      </c>
      <c r="Q32" s="10"/>
      <c r="R32" s="10"/>
    </row>
    <row r="33" spans="1:18" ht="16.3">
      <c r="A33" s="6" t="s">
        <v>13</v>
      </c>
      <c r="B33" s="10" t="s">
        <v>9</v>
      </c>
      <c r="D33" s="11" t="s">
        <v>33</v>
      </c>
      <c r="E33" s="11">
        <v>41007</v>
      </c>
      <c r="F33" s="12" t="s">
        <v>55</v>
      </c>
      <c r="G33" s="10" t="str">
        <f t="shared" si="1"/>
        <v>Northwestern Counties, OR</v>
      </c>
      <c r="H33" s="10">
        <f t="shared" si="2"/>
        <v>3400</v>
      </c>
      <c r="I33" s="10">
        <f t="shared" si="3"/>
        <v>703</v>
      </c>
      <c r="J33" s="10">
        <f t="shared" si="6"/>
        <v>677</v>
      </c>
      <c r="K33" s="10">
        <f t="shared" si="7"/>
        <v>651</v>
      </c>
      <c r="L33" s="10">
        <f t="shared" si="8"/>
        <v>626</v>
      </c>
      <c r="M33" s="13">
        <v>600</v>
      </c>
      <c r="N33" s="10">
        <f t="shared" si="4"/>
        <v>2900</v>
      </c>
      <c r="O33" s="14">
        <f t="shared" si="5"/>
        <v>0.20689655172413793</v>
      </c>
      <c r="Q33" s="10"/>
      <c r="R33" s="10"/>
    </row>
    <row r="34" spans="1:18" ht="16.3">
      <c r="A34" s="6" t="s">
        <v>14</v>
      </c>
      <c r="B34" s="10" t="s">
        <v>9</v>
      </c>
      <c r="D34" s="11" t="s">
        <v>41</v>
      </c>
      <c r="E34" s="11">
        <v>41009</v>
      </c>
      <c r="F34" s="12" t="s">
        <v>55</v>
      </c>
      <c r="G34" s="10" t="str">
        <f t="shared" si="1"/>
        <v>Portland Western Suburbs, OR</v>
      </c>
      <c r="H34" s="10">
        <f t="shared" si="2"/>
        <v>11500</v>
      </c>
      <c r="I34" s="10">
        <f t="shared" si="3"/>
        <v>76</v>
      </c>
      <c r="J34" s="10">
        <f t="shared" si="6"/>
        <v>82</v>
      </c>
      <c r="K34" s="10">
        <f t="shared" si="7"/>
        <v>88</v>
      </c>
      <c r="L34" s="10">
        <f t="shared" si="8"/>
        <v>94</v>
      </c>
      <c r="M34" s="13">
        <v>100</v>
      </c>
      <c r="N34" s="10">
        <f t="shared" si="4"/>
        <v>15200</v>
      </c>
      <c r="O34" s="14">
        <f t="shared" si="5"/>
        <v>6.5789473684210523E-3</v>
      </c>
      <c r="Q34" s="10"/>
      <c r="R34" s="10"/>
    </row>
    <row r="35" spans="1:18" ht="16.3">
      <c r="A35" s="6" t="s">
        <v>15</v>
      </c>
      <c r="B35" s="10" t="s">
        <v>9</v>
      </c>
      <c r="D35" s="11" t="s">
        <v>49</v>
      </c>
      <c r="E35" s="11">
        <v>41011</v>
      </c>
      <c r="F35" s="12" t="s">
        <v>55</v>
      </c>
      <c r="G35" s="10" t="str">
        <f t="shared" si="1"/>
        <v>Southwestern Counties, OR</v>
      </c>
      <c r="H35" s="10">
        <f t="shared" si="2"/>
        <v>6300</v>
      </c>
      <c r="I35" s="10">
        <f t="shared" si="3"/>
        <v>568</v>
      </c>
      <c r="J35" s="10">
        <f t="shared" si="6"/>
        <v>551</v>
      </c>
      <c r="K35" s="10">
        <f t="shared" si="7"/>
        <v>534</v>
      </c>
      <c r="L35" s="10">
        <f t="shared" si="8"/>
        <v>517</v>
      </c>
      <c r="M35" s="13">
        <v>500</v>
      </c>
      <c r="N35" s="10">
        <f t="shared" si="4"/>
        <v>5550</v>
      </c>
      <c r="O35" s="14">
        <f t="shared" si="5"/>
        <v>9.0090090090090086E-2</v>
      </c>
      <c r="Q35" s="10"/>
      <c r="R35" s="10"/>
    </row>
    <row r="36" spans="1:18" ht="16.3">
      <c r="A36" s="6" t="s">
        <v>17</v>
      </c>
      <c r="B36" s="6" t="s">
        <v>16</v>
      </c>
      <c r="D36" s="11" t="s">
        <v>10</v>
      </c>
      <c r="E36" s="11">
        <v>41013</v>
      </c>
      <c r="F36" s="12" t="s">
        <v>55</v>
      </c>
      <c r="G36" s="10" t="str">
        <f t="shared" si="1"/>
        <v>Bend &amp; Nearby Counties, OR</v>
      </c>
      <c r="H36" s="10">
        <f t="shared" si="2"/>
        <v>2300</v>
      </c>
      <c r="I36" s="10">
        <f t="shared" si="3"/>
        <v>25</v>
      </c>
      <c r="J36" s="10">
        <f t="shared" si="6"/>
        <v>25</v>
      </c>
      <c r="K36" s="10">
        <f t="shared" si="7"/>
        <v>25</v>
      </c>
      <c r="L36" s="10">
        <f t="shared" si="8"/>
        <v>25</v>
      </c>
      <c r="M36" s="13">
        <v>25</v>
      </c>
      <c r="N36" s="10">
        <f t="shared" si="4"/>
        <v>2295</v>
      </c>
      <c r="O36" s="14">
        <f t="shared" si="5"/>
        <v>1.0893246187363835E-2</v>
      </c>
      <c r="Q36" s="10"/>
      <c r="R36" s="10"/>
    </row>
    <row r="37" spans="1:18" ht="16.3">
      <c r="A37" s="6" t="s">
        <v>18</v>
      </c>
      <c r="B37" s="10" t="s">
        <v>16</v>
      </c>
      <c r="D37" s="11" t="s">
        <v>50</v>
      </c>
      <c r="E37" s="11">
        <v>41015</v>
      </c>
      <c r="F37" s="12" t="s">
        <v>55</v>
      </c>
      <c r="G37" s="10" t="str">
        <f t="shared" si="1"/>
        <v>Southwestern Counties, OR</v>
      </c>
      <c r="H37" s="10">
        <f t="shared" si="2"/>
        <v>6300</v>
      </c>
      <c r="I37" s="10">
        <f t="shared" si="3"/>
        <v>170</v>
      </c>
      <c r="J37" s="10">
        <f t="shared" si="6"/>
        <v>165</v>
      </c>
      <c r="K37" s="10">
        <f t="shared" si="7"/>
        <v>160</v>
      </c>
      <c r="L37" s="10">
        <f t="shared" si="8"/>
        <v>155</v>
      </c>
      <c r="M37" s="13">
        <v>150</v>
      </c>
      <c r="N37" s="10">
        <f t="shared" si="4"/>
        <v>5550</v>
      </c>
      <c r="O37" s="14">
        <f t="shared" si="5"/>
        <v>2.7027027027027029E-2</v>
      </c>
      <c r="Q37" s="10"/>
      <c r="R37" s="10"/>
    </row>
    <row r="38" spans="1:18" ht="16.3">
      <c r="A38" s="6" t="s">
        <v>19</v>
      </c>
      <c r="B38" s="10" t="s">
        <v>16</v>
      </c>
      <c r="D38" s="11" t="s">
        <v>11</v>
      </c>
      <c r="E38" s="11">
        <v>41017</v>
      </c>
      <c r="F38" s="12" t="s">
        <v>55</v>
      </c>
      <c r="G38" s="10" t="str">
        <f t="shared" si="1"/>
        <v>Bend &amp; Nearby Counties, OR</v>
      </c>
      <c r="H38" s="10">
        <f t="shared" si="2"/>
        <v>2300</v>
      </c>
      <c r="I38" s="10">
        <f t="shared" si="3"/>
        <v>2004</v>
      </c>
      <c r="J38" s="10">
        <f t="shared" si="6"/>
        <v>2003</v>
      </c>
      <c r="K38" s="10">
        <f t="shared" si="7"/>
        <v>2002</v>
      </c>
      <c r="L38" s="10">
        <f t="shared" si="8"/>
        <v>2001</v>
      </c>
      <c r="M38" s="13">
        <v>2000</v>
      </c>
      <c r="N38" s="10">
        <f t="shared" si="4"/>
        <v>2295</v>
      </c>
      <c r="O38" s="14">
        <f t="shared" si="5"/>
        <v>0.8714596949891068</v>
      </c>
      <c r="Q38" s="10"/>
      <c r="R38" s="10"/>
    </row>
    <row r="39" spans="1:18" ht="16.3">
      <c r="A39" s="6" t="s">
        <v>20</v>
      </c>
      <c r="B39" s="10" t="s">
        <v>16</v>
      </c>
      <c r="D39" s="11" t="s">
        <v>51</v>
      </c>
      <c r="E39" s="11">
        <v>41019</v>
      </c>
      <c r="F39" s="12" t="s">
        <v>55</v>
      </c>
      <c r="G39" s="10" t="str">
        <f t="shared" si="1"/>
        <v>Southwestern Counties, OR</v>
      </c>
      <c r="H39" s="10">
        <f t="shared" si="2"/>
        <v>6300</v>
      </c>
      <c r="I39" s="10">
        <f t="shared" si="3"/>
        <v>341</v>
      </c>
      <c r="J39" s="10">
        <f t="shared" si="6"/>
        <v>331</v>
      </c>
      <c r="K39" s="10">
        <f t="shared" si="7"/>
        <v>320</v>
      </c>
      <c r="L39" s="10">
        <f t="shared" si="8"/>
        <v>310</v>
      </c>
      <c r="M39" s="13">
        <v>300</v>
      </c>
      <c r="N39" s="10">
        <f t="shared" si="4"/>
        <v>5550</v>
      </c>
      <c r="O39" s="14">
        <f t="shared" si="5"/>
        <v>5.4054054054054057E-2</v>
      </c>
      <c r="Q39" s="10"/>
      <c r="R39" s="10"/>
    </row>
    <row r="40" spans="1:18" ht="16.3">
      <c r="A40" s="6" t="s">
        <v>21</v>
      </c>
      <c r="B40" s="10" t="s">
        <v>16</v>
      </c>
      <c r="D40" s="11" t="s">
        <v>18</v>
      </c>
      <c r="E40" s="11">
        <v>41021</v>
      </c>
      <c r="F40" s="12" t="s">
        <v>55</v>
      </c>
      <c r="G40" s="10" t="str">
        <f t="shared" si="1"/>
        <v>Eastern Counties, OR</v>
      </c>
      <c r="H40" s="10">
        <f t="shared" si="2"/>
        <v>1000</v>
      </c>
      <c r="I40" s="10">
        <f t="shared" si="3"/>
        <v>0</v>
      </c>
      <c r="J40" s="10">
        <f t="shared" si="6"/>
        <v>0</v>
      </c>
      <c r="K40" s="10">
        <f t="shared" si="7"/>
        <v>0</v>
      </c>
      <c r="L40" s="10">
        <f t="shared" si="8"/>
        <v>0</v>
      </c>
      <c r="M40" s="13">
        <v>0</v>
      </c>
      <c r="N40" s="10">
        <f t="shared" si="4"/>
        <v>460</v>
      </c>
      <c r="O40" s="14">
        <f t="shared" si="5"/>
        <v>0</v>
      </c>
      <c r="Q40" s="10"/>
      <c r="R40" s="10"/>
    </row>
    <row r="41" spans="1:18" ht="16.3">
      <c r="A41" s="6" t="s">
        <v>22</v>
      </c>
      <c r="B41" s="10" t="s">
        <v>16</v>
      </c>
      <c r="D41" s="11" t="s">
        <v>19</v>
      </c>
      <c r="E41" s="11">
        <v>41023</v>
      </c>
      <c r="F41" s="12" t="s">
        <v>55</v>
      </c>
      <c r="G41" s="10" t="str">
        <f t="shared" si="1"/>
        <v>Eastern Counties, OR</v>
      </c>
      <c r="H41" s="10">
        <f t="shared" si="2"/>
        <v>1000</v>
      </c>
      <c r="I41" s="10">
        <f t="shared" si="3"/>
        <v>0</v>
      </c>
      <c r="J41" s="10">
        <f t="shared" si="6"/>
        <v>0</v>
      </c>
      <c r="K41" s="10">
        <f t="shared" si="7"/>
        <v>0</v>
      </c>
      <c r="L41" s="10">
        <f t="shared" si="8"/>
        <v>0</v>
      </c>
      <c r="M41" s="13">
        <v>0</v>
      </c>
      <c r="N41" s="10">
        <f t="shared" si="4"/>
        <v>460</v>
      </c>
      <c r="O41" s="14">
        <f t="shared" si="5"/>
        <v>0</v>
      </c>
      <c r="Q41" s="10"/>
      <c r="R41" s="10"/>
    </row>
    <row r="42" spans="1:18" ht="16.3">
      <c r="A42" s="6" t="s">
        <v>23</v>
      </c>
      <c r="B42" s="10" t="s">
        <v>16</v>
      </c>
      <c r="D42" s="11" t="s">
        <v>20</v>
      </c>
      <c r="E42" s="11">
        <v>41025</v>
      </c>
      <c r="F42" s="12" t="s">
        <v>55</v>
      </c>
      <c r="G42" s="10" t="str">
        <f t="shared" si="1"/>
        <v>Eastern Counties, OR</v>
      </c>
      <c r="H42" s="10">
        <f t="shared" si="2"/>
        <v>1000</v>
      </c>
      <c r="I42" s="10">
        <f t="shared" si="3"/>
        <v>0</v>
      </c>
      <c r="J42" s="10">
        <f t="shared" si="6"/>
        <v>0</v>
      </c>
      <c r="K42" s="10">
        <f t="shared" si="7"/>
        <v>0</v>
      </c>
      <c r="L42" s="10">
        <f t="shared" si="8"/>
        <v>0</v>
      </c>
      <c r="M42" s="13">
        <v>0</v>
      </c>
      <c r="N42" s="10">
        <f t="shared" si="4"/>
        <v>460</v>
      </c>
      <c r="O42" s="14">
        <f t="shared" si="5"/>
        <v>0</v>
      </c>
      <c r="Q42" s="10"/>
      <c r="R42" s="10"/>
    </row>
    <row r="43" spans="1:18" ht="16.3">
      <c r="A43" s="6" t="s">
        <v>24</v>
      </c>
      <c r="B43" s="10" t="s">
        <v>16</v>
      </c>
      <c r="D43" s="11" t="s">
        <v>12</v>
      </c>
      <c r="E43" s="11">
        <v>41027</v>
      </c>
      <c r="F43" s="12" t="s">
        <v>55</v>
      </c>
      <c r="G43" s="10" t="str">
        <f t="shared" si="1"/>
        <v>Bend &amp; Nearby Counties, OR</v>
      </c>
      <c r="H43" s="10">
        <f t="shared" si="2"/>
        <v>2300</v>
      </c>
      <c r="I43" s="10">
        <f t="shared" si="3"/>
        <v>251</v>
      </c>
      <c r="J43" s="10">
        <f t="shared" si="6"/>
        <v>251</v>
      </c>
      <c r="K43" s="10">
        <f t="shared" si="7"/>
        <v>250</v>
      </c>
      <c r="L43" s="10">
        <f t="shared" si="8"/>
        <v>250</v>
      </c>
      <c r="M43" s="13">
        <v>250</v>
      </c>
      <c r="N43" s="10">
        <f t="shared" si="4"/>
        <v>2295</v>
      </c>
      <c r="O43" s="14">
        <f t="shared" si="5"/>
        <v>0.10893246187363835</v>
      </c>
      <c r="Q43" s="10"/>
      <c r="R43" s="10"/>
    </row>
    <row r="44" spans="1:18" ht="16.3">
      <c r="A44" s="6" t="s">
        <v>25</v>
      </c>
      <c r="B44" s="10" t="s">
        <v>16</v>
      </c>
      <c r="D44" s="11" t="s">
        <v>52</v>
      </c>
      <c r="E44" s="11">
        <v>41029</v>
      </c>
      <c r="F44" s="12" t="s">
        <v>55</v>
      </c>
      <c r="G44" s="10" t="str">
        <f t="shared" si="1"/>
        <v>Southwestern Counties, OR</v>
      </c>
      <c r="H44" s="10">
        <f t="shared" si="2"/>
        <v>6300</v>
      </c>
      <c r="I44" s="10">
        <f t="shared" si="3"/>
        <v>4541</v>
      </c>
      <c r="J44" s="10">
        <f t="shared" si="6"/>
        <v>4406</v>
      </c>
      <c r="K44" s="10">
        <f t="shared" si="7"/>
        <v>4270</v>
      </c>
      <c r="L44" s="10">
        <f t="shared" si="8"/>
        <v>4135</v>
      </c>
      <c r="M44" s="13">
        <v>4000</v>
      </c>
      <c r="N44" s="10">
        <f t="shared" si="4"/>
        <v>5550</v>
      </c>
      <c r="O44" s="14">
        <f t="shared" si="5"/>
        <v>0.72072072072072069</v>
      </c>
      <c r="Q44" s="10"/>
      <c r="R44" s="10"/>
    </row>
    <row r="45" spans="1:18" ht="16.3">
      <c r="A45" s="6" t="s">
        <v>26</v>
      </c>
      <c r="B45" s="10" t="s">
        <v>16</v>
      </c>
      <c r="D45" s="11" t="s">
        <v>13</v>
      </c>
      <c r="E45" s="11">
        <v>41031</v>
      </c>
      <c r="F45" s="12" t="s">
        <v>55</v>
      </c>
      <c r="G45" s="10" t="str">
        <f t="shared" si="1"/>
        <v>Bend &amp; Nearby Counties, OR</v>
      </c>
      <c r="H45" s="10">
        <f t="shared" si="2"/>
        <v>2300</v>
      </c>
      <c r="I45" s="10">
        <f t="shared" si="3"/>
        <v>10</v>
      </c>
      <c r="J45" s="10">
        <f t="shared" si="6"/>
        <v>10</v>
      </c>
      <c r="K45" s="10">
        <f t="shared" si="7"/>
        <v>10</v>
      </c>
      <c r="L45" s="10">
        <f t="shared" si="8"/>
        <v>10</v>
      </c>
      <c r="M45" s="13">
        <v>10</v>
      </c>
      <c r="N45" s="10">
        <f t="shared" si="4"/>
        <v>2295</v>
      </c>
      <c r="O45" s="14">
        <f t="shared" si="5"/>
        <v>4.3572984749455342E-3</v>
      </c>
      <c r="Q45" s="10"/>
      <c r="R45" s="10"/>
    </row>
    <row r="46" spans="1:18" ht="16.3">
      <c r="A46" s="6" t="s">
        <v>27</v>
      </c>
      <c r="B46" s="10" t="s">
        <v>16</v>
      </c>
      <c r="D46" s="11" t="s">
        <v>53</v>
      </c>
      <c r="E46" s="11">
        <v>41033</v>
      </c>
      <c r="F46" s="12" t="s">
        <v>55</v>
      </c>
      <c r="G46" s="10" t="str">
        <f t="shared" si="1"/>
        <v>Southwestern Counties, OR</v>
      </c>
      <c r="H46" s="10">
        <f t="shared" si="2"/>
        <v>6300</v>
      </c>
      <c r="I46" s="10">
        <f t="shared" si="3"/>
        <v>681</v>
      </c>
      <c r="J46" s="10">
        <f t="shared" si="6"/>
        <v>661</v>
      </c>
      <c r="K46" s="10">
        <f t="shared" si="7"/>
        <v>640</v>
      </c>
      <c r="L46" s="10">
        <f t="shared" si="8"/>
        <v>620</v>
      </c>
      <c r="M46" s="13">
        <v>600</v>
      </c>
      <c r="N46" s="10">
        <f t="shared" si="4"/>
        <v>5550</v>
      </c>
      <c r="O46" s="14">
        <f t="shared" si="5"/>
        <v>0.10810810810810811</v>
      </c>
      <c r="Q46" s="10"/>
      <c r="R46" s="10"/>
    </row>
    <row r="47" spans="1:18" ht="16.3">
      <c r="A47" s="6" t="s">
        <v>28</v>
      </c>
      <c r="B47" s="10" t="s">
        <v>16</v>
      </c>
      <c r="D47" s="11" t="s">
        <v>21</v>
      </c>
      <c r="E47" s="11">
        <v>41035</v>
      </c>
      <c r="F47" s="12" t="s">
        <v>55</v>
      </c>
      <c r="G47" s="10" t="str">
        <f t="shared" si="1"/>
        <v>Eastern Counties, OR</v>
      </c>
      <c r="H47" s="10">
        <f t="shared" si="2"/>
        <v>1000</v>
      </c>
      <c r="I47" s="10">
        <f t="shared" si="3"/>
        <v>435</v>
      </c>
      <c r="J47" s="10">
        <f t="shared" si="6"/>
        <v>376</v>
      </c>
      <c r="K47" s="10">
        <f t="shared" si="7"/>
        <v>317</v>
      </c>
      <c r="L47" s="10">
        <f t="shared" si="8"/>
        <v>259</v>
      </c>
      <c r="M47" s="13">
        <v>200</v>
      </c>
      <c r="N47" s="10">
        <f t="shared" si="4"/>
        <v>460</v>
      </c>
      <c r="O47" s="14">
        <f t="shared" si="5"/>
        <v>0.43478260869565216</v>
      </c>
      <c r="Q47" s="10"/>
      <c r="R47" s="10"/>
    </row>
    <row r="48" spans="1:18" ht="16.3">
      <c r="A48" s="6" t="s">
        <v>30</v>
      </c>
      <c r="B48" s="6" t="s">
        <v>29</v>
      </c>
      <c r="D48" s="11" t="s">
        <v>22</v>
      </c>
      <c r="E48" s="11">
        <v>41037</v>
      </c>
      <c r="F48" s="12" t="s">
        <v>55</v>
      </c>
      <c r="G48" s="10" t="str">
        <f t="shared" si="1"/>
        <v>Eastern Counties, OR</v>
      </c>
      <c r="H48" s="10">
        <f t="shared" si="2"/>
        <v>1000</v>
      </c>
      <c r="I48" s="10">
        <f t="shared" si="3"/>
        <v>22</v>
      </c>
      <c r="J48" s="10">
        <f t="shared" si="6"/>
        <v>19</v>
      </c>
      <c r="K48" s="10">
        <f t="shared" si="7"/>
        <v>16</v>
      </c>
      <c r="L48" s="10">
        <f t="shared" si="8"/>
        <v>13</v>
      </c>
      <c r="M48" s="13">
        <v>10</v>
      </c>
      <c r="N48" s="10">
        <f t="shared" si="4"/>
        <v>460</v>
      </c>
      <c r="O48" s="14">
        <f t="shared" si="5"/>
        <v>2.1739130434782608E-2</v>
      </c>
      <c r="Q48" s="10"/>
      <c r="R48" s="10"/>
    </row>
    <row r="49" spans="1:18" ht="16.3">
      <c r="A49" s="6" t="s">
        <v>32</v>
      </c>
      <c r="B49" s="6" t="s">
        <v>31</v>
      </c>
      <c r="D49" s="11" t="s">
        <v>30</v>
      </c>
      <c r="E49" s="11">
        <v>41039</v>
      </c>
      <c r="F49" s="12" t="s">
        <v>55</v>
      </c>
      <c r="G49" s="10" t="str">
        <f t="shared" si="1"/>
        <v>Eugene, OR</v>
      </c>
      <c r="H49" s="10">
        <f t="shared" si="2"/>
        <v>8200</v>
      </c>
      <c r="I49" s="10">
        <f t="shared" si="3"/>
        <v>8200</v>
      </c>
      <c r="J49" s="10">
        <f t="shared" si="6"/>
        <v>7025</v>
      </c>
      <c r="K49" s="10">
        <f t="shared" si="7"/>
        <v>5850</v>
      </c>
      <c r="L49" s="10">
        <f t="shared" si="8"/>
        <v>4675</v>
      </c>
      <c r="M49" s="13">
        <v>3500</v>
      </c>
      <c r="N49" s="10">
        <f t="shared" si="4"/>
        <v>3500</v>
      </c>
      <c r="O49" s="14">
        <f t="shared" si="5"/>
        <v>1</v>
      </c>
      <c r="Q49" s="10"/>
      <c r="R49" s="10"/>
    </row>
    <row r="50" spans="1:18" ht="16.3">
      <c r="A50" s="6" t="s">
        <v>33</v>
      </c>
      <c r="B50" s="10" t="s">
        <v>31</v>
      </c>
      <c r="D50" s="11" t="s">
        <v>34</v>
      </c>
      <c r="E50" s="11">
        <v>41041</v>
      </c>
      <c r="F50" s="12" t="s">
        <v>55</v>
      </c>
      <c r="G50" s="10" t="str">
        <f t="shared" si="1"/>
        <v>Northwestern Counties, OR</v>
      </c>
      <c r="H50" s="10">
        <f t="shared" si="2"/>
        <v>3400</v>
      </c>
      <c r="I50" s="10">
        <f t="shared" si="3"/>
        <v>586</v>
      </c>
      <c r="J50" s="10">
        <f t="shared" si="6"/>
        <v>564</v>
      </c>
      <c r="K50" s="10">
        <f t="shared" si="7"/>
        <v>543</v>
      </c>
      <c r="L50" s="10">
        <f t="shared" si="8"/>
        <v>521</v>
      </c>
      <c r="M50" s="13">
        <v>500</v>
      </c>
      <c r="N50" s="10">
        <f t="shared" si="4"/>
        <v>2900</v>
      </c>
      <c r="O50" s="14">
        <f t="shared" si="5"/>
        <v>0.17241379310344829</v>
      </c>
      <c r="Q50" s="10"/>
      <c r="R50" s="10"/>
    </row>
    <row r="51" spans="1:18" ht="16.3">
      <c r="A51" s="6" t="s">
        <v>34</v>
      </c>
      <c r="B51" s="10" t="s">
        <v>31</v>
      </c>
      <c r="D51" s="11" t="s">
        <v>35</v>
      </c>
      <c r="E51" s="11">
        <v>41043</v>
      </c>
      <c r="F51" s="12" t="s">
        <v>55</v>
      </c>
      <c r="G51" s="10" t="str">
        <f t="shared" si="1"/>
        <v>Northwestern Counties, OR</v>
      </c>
      <c r="H51" s="10">
        <f t="shared" si="2"/>
        <v>3400</v>
      </c>
      <c r="I51" s="10">
        <f t="shared" si="3"/>
        <v>645</v>
      </c>
      <c r="J51" s="10">
        <f t="shared" si="6"/>
        <v>621</v>
      </c>
      <c r="K51" s="10">
        <f t="shared" si="7"/>
        <v>597</v>
      </c>
      <c r="L51" s="10">
        <f t="shared" si="8"/>
        <v>574</v>
      </c>
      <c r="M51" s="13">
        <v>550</v>
      </c>
      <c r="N51" s="10">
        <f t="shared" si="4"/>
        <v>2900</v>
      </c>
      <c r="O51" s="14">
        <f t="shared" si="5"/>
        <v>0.18965517241379309</v>
      </c>
      <c r="Q51" s="10"/>
      <c r="R51" s="10"/>
    </row>
    <row r="52" spans="1:18" ht="16.3">
      <c r="A52" s="6" t="s">
        <v>35</v>
      </c>
      <c r="B52" s="10" t="s">
        <v>31</v>
      </c>
      <c r="D52" s="11" t="s">
        <v>23</v>
      </c>
      <c r="E52" s="11">
        <v>41045</v>
      </c>
      <c r="F52" s="12" t="s">
        <v>55</v>
      </c>
      <c r="G52" s="10" t="str">
        <f t="shared" si="1"/>
        <v>Eastern Counties, OR</v>
      </c>
      <c r="H52" s="10">
        <f t="shared" si="2"/>
        <v>1000</v>
      </c>
      <c r="I52" s="10">
        <f t="shared" si="3"/>
        <v>0</v>
      </c>
      <c r="J52" s="10">
        <f t="shared" si="6"/>
        <v>0</v>
      </c>
      <c r="K52" s="10">
        <f t="shared" si="7"/>
        <v>0</v>
      </c>
      <c r="L52" s="10">
        <f t="shared" si="8"/>
        <v>0</v>
      </c>
      <c r="M52" s="13">
        <v>0</v>
      </c>
      <c r="N52" s="10">
        <f t="shared" si="4"/>
        <v>460</v>
      </c>
      <c r="O52" s="14">
        <f t="shared" si="5"/>
        <v>0</v>
      </c>
      <c r="Q52" s="10"/>
      <c r="R52" s="10"/>
    </row>
    <row r="53" spans="1:18" ht="16.3">
      <c r="A53" s="6" t="s">
        <v>36</v>
      </c>
      <c r="B53" s="10" t="s">
        <v>31</v>
      </c>
      <c r="D53" s="11" t="s">
        <v>46</v>
      </c>
      <c r="E53" s="11">
        <v>41047</v>
      </c>
      <c r="F53" s="12" t="s">
        <v>55</v>
      </c>
      <c r="G53" s="10" t="str">
        <f t="shared" si="1"/>
        <v>Salem Area, OR</v>
      </c>
      <c r="H53" s="10">
        <f t="shared" si="2"/>
        <v>1900</v>
      </c>
      <c r="I53" s="10">
        <f t="shared" si="3"/>
        <v>1520</v>
      </c>
      <c r="J53" s="10">
        <f t="shared" si="6"/>
        <v>1640</v>
      </c>
      <c r="K53" s="10">
        <f t="shared" si="7"/>
        <v>1760</v>
      </c>
      <c r="L53" s="10">
        <f t="shared" si="8"/>
        <v>1880</v>
      </c>
      <c r="M53" s="13">
        <v>2000</v>
      </c>
      <c r="N53" s="10">
        <f t="shared" si="4"/>
        <v>2500</v>
      </c>
      <c r="O53" s="14">
        <f t="shared" si="5"/>
        <v>0.8</v>
      </c>
      <c r="Q53" s="10"/>
      <c r="R53" s="10"/>
    </row>
    <row r="54" spans="1:18" ht="16.3">
      <c r="A54" s="6" t="s">
        <v>38</v>
      </c>
      <c r="B54" s="6" t="s">
        <v>37</v>
      </c>
      <c r="D54" s="11" t="s">
        <v>24</v>
      </c>
      <c r="E54" s="11">
        <v>41049</v>
      </c>
      <c r="F54" s="12" t="s">
        <v>55</v>
      </c>
      <c r="G54" s="10" t="str">
        <f t="shared" si="1"/>
        <v>Eastern Counties, OR</v>
      </c>
      <c r="H54" s="10">
        <f t="shared" si="2"/>
        <v>1000</v>
      </c>
      <c r="I54" s="10">
        <f t="shared" si="3"/>
        <v>0</v>
      </c>
      <c r="J54" s="10">
        <f t="shared" si="6"/>
        <v>0</v>
      </c>
      <c r="K54" s="10">
        <f t="shared" si="7"/>
        <v>0</v>
      </c>
      <c r="L54" s="10">
        <f t="shared" si="8"/>
        <v>0</v>
      </c>
      <c r="M54" s="13">
        <v>0</v>
      </c>
      <c r="N54" s="10">
        <f t="shared" si="4"/>
        <v>460</v>
      </c>
      <c r="O54" s="14">
        <f t="shared" si="5"/>
        <v>0</v>
      </c>
      <c r="Q54" s="10"/>
      <c r="R54" s="10"/>
    </row>
    <row r="55" spans="1:18" ht="16.3">
      <c r="A55" s="6" t="s">
        <v>39</v>
      </c>
      <c r="B55" s="10" t="s">
        <v>37</v>
      </c>
      <c r="D55" s="11" t="s">
        <v>44</v>
      </c>
      <c r="E55" s="11">
        <v>41051</v>
      </c>
      <c r="F55" s="12" t="s">
        <v>55</v>
      </c>
      <c r="G55" s="10" t="str">
        <f t="shared" si="1"/>
        <v>Portland, OR</v>
      </c>
      <c r="H55" s="10">
        <f t="shared" si="2"/>
        <v>28800</v>
      </c>
      <c r="I55" s="10">
        <f t="shared" si="3"/>
        <v>28800</v>
      </c>
      <c r="J55" s="10">
        <f t="shared" si="6"/>
        <v>30050</v>
      </c>
      <c r="K55" s="10">
        <f t="shared" si="7"/>
        <v>31300</v>
      </c>
      <c r="L55" s="10">
        <f t="shared" si="8"/>
        <v>32550</v>
      </c>
      <c r="M55" s="13">
        <v>33800</v>
      </c>
      <c r="N55" s="10">
        <f t="shared" si="4"/>
        <v>33800</v>
      </c>
      <c r="O55" s="14">
        <f t="shared" si="5"/>
        <v>1</v>
      </c>
      <c r="Q55" s="10"/>
      <c r="R55" s="10"/>
    </row>
    <row r="56" spans="1:18" ht="16.3">
      <c r="A56" s="6" t="s">
        <v>41</v>
      </c>
      <c r="B56" s="6" t="s">
        <v>40</v>
      </c>
      <c r="D56" s="11" t="s">
        <v>47</v>
      </c>
      <c r="E56" s="11">
        <v>41053</v>
      </c>
      <c r="F56" s="12" t="s">
        <v>55</v>
      </c>
      <c r="G56" s="10" t="str">
        <f t="shared" si="1"/>
        <v>Salem Area, OR</v>
      </c>
      <c r="H56" s="10">
        <f t="shared" si="2"/>
        <v>1900</v>
      </c>
      <c r="I56" s="10">
        <f t="shared" si="3"/>
        <v>380</v>
      </c>
      <c r="J56" s="10">
        <f t="shared" si="6"/>
        <v>410</v>
      </c>
      <c r="K56" s="10">
        <f t="shared" si="7"/>
        <v>440</v>
      </c>
      <c r="L56" s="10">
        <f t="shared" si="8"/>
        <v>470</v>
      </c>
      <c r="M56" s="13">
        <v>500</v>
      </c>
      <c r="N56" s="10">
        <f t="shared" si="4"/>
        <v>2500</v>
      </c>
      <c r="O56" s="14">
        <f t="shared" si="5"/>
        <v>0.2</v>
      </c>
      <c r="Q56" s="10"/>
      <c r="R56" s="10"/>
    </row>
    <row r="57" spans="1:18" ht="16.3">
      <c r="A57" s="6" t="s">
        <v>42</v>
      </c>
      <c r="B57" s="10" t="s">
        <v>40</v>
      </c>
      <c r="D57" s="11" t="s">
        <v>14</v>
      </c>
      <c r="E57" s="11">
        <v>41055</v>
      </c>
      <c r="F57" s="12" t="s">
        <v>55</v>
      </c>
      <c r="G57" s="10" t="str">
        <f t="shared" si="1"/>
        <v>Bend &amp; Nearby Counties, OR</v>
      </c>
      <c r="H57" s="10">
        <f t="shared" si="2"/>
        <v>2300</v>
      </c>
      <c r="I57" s="10">
        <f t="shared" si="3"/>
        <v>0</v>
      </c>
      <c r="J57" s="10">
        <f t="shared" si="6"/>
        <v>0</v>
      </c>
      <c r="K57" s="10">
        <f t="shared" si="7"/>
        <v>0</v>
      </c>
      <c r="L57" s="10">
        <f t="shared" si="8"/>
        <v>0</v>
      </c>
      <c r="M57" s="13">
        <v>0</v>
      </c>
      <c r="N57" s="10">
        <f t="shared" si="4"/>
        <v>2295</v>
      </c>
      <c r="O57" s="14">
        <f t="shared" si="5"/>
        <v>0</v>
      </c>
      <c r="Q57" s="10"/>
      <c r="R57" s="10"/>
    </row>
    <row r="58" spans="1:18" ht="16.3">
      <c r="A58" s="6" t="s">
        <v>44</v>
      </c>
      <c r="B58" s="6" t="s">
        <v>43</v>
      </c>
      <c r="D58" s="11" t="s">
        <v>36</v>
      </c>
      <c r="E58" s="11">
        <v>41057</v>
      </c>
      <c r="F58" s="12" t="s">
        <v>55</v>
      </c>
      <c r="G58" s="10" t="str">
        <f t="shared" si="1"/>
        <v>Northwestern Counties, OR</v>
      </c>
      <c r="H58" s="10">
        <f t="shared" si="2"/>
        <v>3400</v>
      </c>
      <c r="I58" s="10">
        <f t="shared" si="3"/>
        <v>293</v>
      </c>
      <c r="J58" s="10">
        <f t="shared" si="6"/>
        <v>282</v>
      </c>
      <c r="K58" s="10">
        <f t="shared" si="7"/>
        <v>271</v>
      </c>
      <c r="L58" s="10">
        <f t="shared" si="8"/>
        <v>261</v>
      </c>
      <c r="M58" s="13">
        <v>250</v>
      </c>
      <c r="N58" s="10">
        <f t="shared" si="4"/>
        <v>2900</v>
      </c>
      <c r="O58" s="14">
        <f t="shared" si="5"/>
        <v>8.6206896551724144E-2</v>
      </c>
      <c r="Q58" s="10"/>
      <c r="R58" s="10"/>
    </row>
    <row r="59" spans="1:18" ht="16.3">
      <c r="A59" s="6" t="s">
        <v>46</v>
      </c>
      <c r="B59" s="6" t="s">
        <v>45</v>
      </c>
      <c r="D59" s="11" t="s">
        <v>25</v>
      </c>
      <c r="E59" s="11">
        <v>41059</v>
      </c>
      <c r="F59" s="12" t="s">
        <v>55</v>
      </c>
      <c r="G59" s="10" t="str">
        <f t="shared" si="1"/>
        <v>Eastern Counties, OR</v>
      </c>
      <c r="H59" s="10">
        <f t="shared" si="2"/>
        <v>1000</v>
      </c>
      <c r="I59" s="10">
        <f t="shared" si="3"/>
        <v>543</v>
      </c>
      <c r="J59" s="10">
        <f t="shared" si="6"/>
        <v>470</v>
      </c>
      <c r="K59" s="10">
        <f t="shared" si="7"/>
        <v>396</v>
      </c>
      <c r="L59" s="10">
        <f t="shared" si="8"/>
        <v>323</v>
      </c>
      <c r="M59" s="13">
        <v>250</v>
      </c>
      <c r="N59" s="10">
        <f t="shared" si="4"/>
        <v>460</v>
      </c>
      <c r="O59" s="14">
        <f t="shared" si="5"/>
        <v>0.54347826086956519</v>
      </c>
      <c r="Q59" s="10"/>
      <c r="R59" s="10"/>
    </row>
    <row r="60" spans="1:18" ht="16.3">
      <c r="A60" s="6" t="s">
        <v>47</v>
      </c>
      <c r="B60" s="10" t="s">
        <v>45</v>
      </c>
      <c r="D60" s="11" t="s">
        <v>26</v>
      </c>
      <c r="E60" s="11">
        <v>41061</v>
      </c>
      <c r="F60" s="12" t="s">
        <v>55</v>
      </c>
      <c r="G60" s="10" t="str">
        <f t="shared" si="1"/>
        <v>Eastern Counties, OR</v>
      </c>
      <c r="H60" s="10">
        <f t="shared" si="2"/>
        <v>1000</v>
      </c>
      <c r="I60" s="10">
        <f t="shared" si="3"/>
        <v>0</v>
      </c>
      <c r="J60" s="10">
        <f t="shared" si="6"/>
        <v>0</v>
      </c>
      <c r="K60" s="10">
        <f t="shared" si="7"/>
        <v>0</v>
      </c>
      <c r="L60" s="10">
        <f t="shared" si="8"/>
        <v>0</v>
      </c>
      <c r="M60" s="13">
        <v>0</v>
      </c>
      <c r="N60" s="10">
        <f t="shared" si="4"/>
        <v>460</v>
      </c>
      <c r="O60" s="14">
        <f t="shared" si="5"/>
        <v>0</v>
      </c>
      <c r="Q60" s="10"/>
      <c r="R60" s="10"/>
    </row>
    <row r="61" spans="1:18" ht="16.3">
      <c r="A61" s="6" t="s">
        <v>49</v>
      </c>
      <c r="B61" s="6" t="s">
        <v>48</v>
      </c>
      <c r="D61" s="11" t="s">
        <v>27</v>
      </c>
      <c r="E61" s="11">
        <v>41063</v>
      </c>
      <c r="F61" s="12" t="s">
        <v>55</v>
      </c>
      <c r="G61" s="10" t="str">
        <f t="shared" si="1"/>
        <v>Eastern Counties, OR</v>
      </c>
      <c r="H61" s="10">
        <f t="shared" si="2"/>
        <v>1000</v>
      </c>
      <c r="I61" s="10">
        <f t="shared" si="3"/>
        <v>0</v>
      </c>
      <c r="J61" s="10">
        <f t="shared" si="6"/>
        <v>0</v>
      </c>
      <c r="K61" s="10">
        <f t="shared" si="7"/>
        <v>0</v>
      </c>
      <c r="L61" s="10">
        <f t="shared" si="8"/>
        <v>0</v>
      </c>
      <c r="M61" s="13">
        <v>0</v>
      </c>
      <c r="N61" s="10">
        <f t="shared" si="4"/>
        <v>460</v>
      </c>
      <c r="O61" s="14">
        <f t="shared" si="5"/>
        <v>0</v>
      </c>
      <c r="Q61" s="10"/>
      <c r="R61" s="10"/>
    </row>
    <row r="62" spans="1:18" ht="16.3">
      <c r="A62" s="6" t="s">
        <v>50</v>
      </c>
      <c r="B62" s="10" t="s">
        <v>48</v>
      </c>
      <c r="D62" s="11" t="s">
        <v>15</v>
      </c>
      <c r="E62" s="11">
        <v>41065</v>
      </c>
      <c r="F62" s="12" t="s">
        <v>55</v>
      </c>
      <c r="G62" s="10" t="str">
        <f t="shared" si="1"/>
        <v>Bend &amp; Nearby Counties, OR</v>
      </c>
      <c r="H62" s="10">
        <f t="shared" si="2"/>
        <v>2300</v>
      </c>
      <c r="I62" s="10">
        <f t="shared" si="3"/>
        <v>10</v>
      </c>
      <c r="J62" s="10">
        <f t="shared" si="6"/>
        <v>10</v>
      </c>
      <c r="K62" s="10">
        <f t="shared" si="7"/>
        <v>10</v>
      </c>
      <c r="L62" s="10">
        <f t="shared" si="8"/>
        <v>10</v>
      </c>
      <c r="M62" s="13">
        <v>10</v>
      </c>
      <c r="N62" s="10">
        <f t="shared" si="4"/>
        <v>2295</v>
      </c>
      <c r="O62" s="14">
        <f t="shared" si="5"/>
        <v>4.3572984749455342E-3</v>
      </c>
      <c r="Q62" s="10"/>
      <c r="R62" s="10"/>
    </row>
    <row r="63" spans="1:18" ht="16.3">
      <c r="A63" s="6" t="s">
        <v>51</v>
      </c>
      <c r="B63" s="10" t="s">
        <v>48</v>
      </c>
      <c r="D63" s="11" t="s">
        <v>42</v>
      </c>
      <c r="E63" s="11">
        <v>41067</v>
      </c>
      <c r="F63" s="12" t="s">
        <v>55</v>
      </c>
      <c r="G63" s="10" t="str">
        <f t="shared" si="1"/>
        <v>Portland Western Suburbs, OR</v>
      </c>
      <c r="H63" s="10">
        <f t="shared" si="2"/>
        <v>11500</v>
      </c>
      <c r="I63" s="10">
        <f t="shared" si="3"/>
        <v>11424</v>
      </c>
      <c r="J63" s="10">
        <f t="shared" si="6"/>
        <v>12343</v>
      </c>
      <c r="K63" s="10">
        <f t="shared" si="7"/>
        <v>13262</v>
      </c>
      <c r="L63" s="10">
        <f t="shared" si="8"/>
        <v>14181</v>
      </c>
      <c r="M63" s="13">
        <v>15100</v>
      </c>
      <c r="N63" s="10">
        <f t="shared" si="4"/>
        <v>15200</v>
      </c>
      <c r="O63" s="14">
        <f t="shared" si="5"/>
        <v>0.99342105263157898</v>
      </c>
      <c r="Q63" s="10"/>
      <c r="R63" s="10"/>
    </row>
    <row r="64" spans="1:18" ht="16.3">
      <c r="A64" s="6" t="s">
        <v>52</v>
      </c>
      <c r="B64" s="10" t="s">
        <v>48</v>
      </c>
      <c r="D64" s="11" t="s">
        <v>28</v>
      </c>
      <c r="E64" s="11">
        <v>41069</v>
      </c>
      <c r="F64" s="12" t="s">
        <v>55</v>
      </c>
      <c r="G64" s="10" t="str">
        <f t="shared" si="1"/>
        <v>Eastern Counties, OR</v>
      </c>
      <c r="H64" s="10">
        <f t="shared" si="2"/>
        <v>1000</v>
      </c>
      <c r="I64" s="10">
        <f t="shared" si="3"/>
        <v>0</v>
      </c>
      <c r="J64" s="10">
        <f t="shared" si="6"/>
        <v>0</v>
      </c>
      <c r="K64" s="10">
        <f t="shared" si="7"/>
        <v>0</v>
      </c>
      <c r="L64" s="10">
        <f t="shared" si="8"/>
        <v>0</v>
      </c>
      <c r="M64" s="13">
        <v>0</v>
      </c>
      <c r="N64" s="10">
        <f t="shared" si="4"/>
        <v>460</v>
      </c>
      <c r="O64" s="14">
        <f t="shared" si="5"/>
        <v>0</v>
      </c>
      <c r="Q64" s="10"/>
      <c r="R64" s="10"/>
    </row>
    <row r="65" spans="1:18" ht="16.3">
      <c r="A65" s="6" t="s">
        <v>53</v>
      </c>
      <c r="B65" s="10" t="s">
        <v>48</v>
      </c>
      <c r="D65" s="11" t="s">
        <v>39</v>
      </c>
      <c r="E65" s="11">
        <v>41071</v>
      </c>
      <c r="F65" s="12" t="s">
        <v>55</v>
      </c>
      <c r="G65" s="10" t="str">
        <f t="shared" si="1"/>
        <v>Portland Southern Counties, OR</v>
      </c>
      <c r="H65" s="10">
        <f t="shared" si="2"/>
        <v>5800</v>
      </c>
      <c r="I65" s="10">
        <f t="shared" si="3"/>
        <v>1338</v>
      </c>
      <c r="J65" s="10">
        <f t="shared" si="6"/>
        <v>1228</v>
      </c>
      <c r="K65" s="10">
        <f t="shared" si="7"/>
        <v>1119</v>
      </c>
      <c r="L65" s="10">
        <f t="shared" si="8"/>
        <v>1009</v>
      </c>
      <c r="M65" s="13">
        <v>900</v>
      </c>
      <c r="N65" s="10">
        <f t="shared" si="4"/>
        <v>3900</v>
      </c>
      <c r="O65" s="14">
        <f t="shared" si="5"/>
        <v>0.23076923076923078</v>
      </c>
      <c r="Q65" s="10"/>
      <c r="R65" s="10"/>
    </row>
    <row r="66" spans="1:18" s="10" customFormat="1" ht="16.3">
      <c r="A66" s="10" t="s">
        <v>70</v>
      </c>
      <c r="B66" s="10" t="s">
        <v>69</v>
      </c>
      <c r="D66" s="17" t="s">
        <v>70</v>
      </c>
      <c r="E66" s="17">
        <v>53011</v>
      </c>
      <c r="F66" s="15" t="s">
        <v>68</v>
      </c>
      <c r="G66" s="10" t="str">
        <f>VLOOKUP(D66,$A$66:$B$67,2,FALSE)</f>
        <v>Portland Northeastern Suburbs, WA</v>
      </c>
      <c r="H66" s="10">
        <f>VLOOKUP(G66,$B$24:$C$24,2,FALSE)</f>
        <v>5400</v>
      </c>
      <c r="I66" s="10">
        <f t="shared" si="3"/>
        <v>5400</v>
      </c>
      <c r="J66" s="10">
        <f t="shared" si="6"/>
        <v>5000</v>
      </c>
      <c r="K66" s="10">
        <f t="shared" si="7"/>
        <v>4600</v>
      </c>
      <c r="L66" s="10">
        <f t="shared" si="8"/>
        <v>4200</v>
      </c>
      <c r="M66" s="18">
        <v>3800</v>
      </c>
      <c r="N66" s="10">
        <f>SUMIF($G$66:$G$67,G66,$M$66:$M$67)</f>
        <v>3800</v>
      </c>
      <c r="O66" s="14">
        <f>M66/SUMIF(G$66:G$67,G66,M$66:M$67)</f>
        <v>1</v>
      </c>
    </row>
    <row r="67" spans="1:18" ht="16.3">
      <c r="A67" s="10" t="s">
        <v>71</v>
      </c>
      <c r="B67" s="10" t="s">
        <v>69</v>
      </c>
      <c r="D67" s="17" t="s">
        <v>71</v>
      </c>
      <c r="E67" s="17">
        <v>53059</v>
      </c>
      <c r="F67" s="15" t="s">
        <v>68</v>
      </c>
      <c r="G67" s="10" t="str">
        <f>VLOOKUP(D67,$A$66:$B$67,2,FALSE)</f>
        <v>Portland Northeastern Suburbs, WA</v>
      </c>
      <c r="H67" s="10">
        <f>VLOOKUP(G67,$B$24:$C$24,2,FALSE)</f>
        <v>5400</v>
      </c>
      <c r="I67">
        <f t="shared" si="3"/>
        <v>0</v>
      </c>
      <c r="J67">
        <f t="shared" si="6"/>
        <v>0</v>
      </c>
      <c r="K67">
        <f t="shared" si="7"/>
        <v>0</v>
      </c>
      <c r="L67" s="16">
        <f t="shared" si="8"/>
        <v>0</v>
      </c>
      <c r="M67" s="18">
        <v>0</v>
      </c>
      <c r="N67" s="10">
        <f>SUMIF($G$66:$G$67,G67,$M$66:$M$67)</f>
        <v>3800</v>
      </c>
      <c r="O67" s="14">
        <f>M67/SUMIF(G$66:G$67,G67,M$66:M$67)</f>
        <v>0</v>
      </c>
    </row>
    <row r="68" spans="1:18" ht="16.3">
      <c r="E68" s="10"/>
      <c r="F68" s="15" t="s">
        <v>55</v>
      </c>
      <c r="I68" s="5">
        <f>SUMIF($F$30:$F$67,$F68,I$30:I$67)</f>
        <v>69200</v>
      </c>
      <c r="J68" s="5">
        <f t="shared" ref="J68:M69" si="9">SUMIF($F$30:$F$67,$F68,J$30:J$67)</f>
        <v>69425</v>
      </c>
      <c r="K68" s="5">
        <f t="shared" si="9"/>
        <v>69648</v>
      </c>
      <c r="L68" s="5">
        <f t="shared" si="9"/>
        <v>69877</v>
      </c>
      <c r="M68" s="5">
        <f t="shared" si="9"/>
        <v>70105</v>
      </c>
    </row>
    <row r="69" spans="1:18" ht="16.3">
      <c r="E69" s="10"/>
      <c r="F69" s="15" t="s">
        <v>68</v>
      </c>
      <c r="I69" s="5">
        <f t="shared" ref="I69" si="10">SUMIF($F$30:$F$67,$F69,I$30:I$67)</f>
        <v>5400</v>
      </c>
      <c r="J69" s="5">
        <f t="shared" si="9"/>
        <v>5000</v>
      </c>
      <c r="K69" s="5">
        <f t="shared" si="9"/>
        <v>4600</v>
      </c>
      <c r="L69" s="5">
        <f t="shared" si="9"/>
        <v>4200</v>
      </c>
      <c r="M69" s="5">
        <f t="shared" si="9"/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Sharygin</dc:creator>
  <cp:lastModifiedBy>Ethan Sharygin</cp:lastModifiedBy>
  <dcterms:created xsi:type="dcterms:W3CDTF">2015-06-05T18:17:20Z</dcterms:created>
  <dcterms:modified xsi:type="dcterms:W3CDTF">2026-07-13T21:48:05Z</dcterms:modified>
</cp:coreProperties>
</file>